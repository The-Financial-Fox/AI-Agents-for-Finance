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\Desktop\"/>
    </mc:Choice>
  </mc:AlternateContent>
  <xr:revisionPtr revIDLastSave="0" documentId="8_{98547B47-5BE1-42C1-B786-0735A79DDF8A}" xr6:coauthVersionLast="47" xr6:coauthVersionMax="47" xr10:uidLastSave="{00000000-0000-0000-0000-000000000000}"/>
  <bookViews>
    <workbookView xWindow="-23148" yWindow="-84" windowWidth="23256" windowHeight="12456" xr2:uid="{C2406652-A79F-450A-8797-68A6CF3265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4" i="1" l="1"/>
  <c r="K73" i="1"/>
  <c r="K72" i="1"/>
  <c r="B76" i="1" a="1"/>
  <c r="B76" i="1" s="1"/>
  <c r="B75" i="1" a="1"/>
  <c r="B75" i="1"/>
  <c r="B74" i="1" a="1"/>
  <c r="B74" i="1" s="1"/>
  <c r="K56" i="1"/>
  <c r="K55" i="1"/>
  <c r="K54" i="1"/>
  <c r="N51" i="1"/>
  <c r="M51" i="1"/>
  <c r="L51" i="1"/>
  <c r="K51" i="1"/>
  <c r="N50" i="1"/>
  <c r="M50" i="1"/>
  <c r="L50" i="1"/>
  <c r="K50" i="1"/>
  <c r="N49" i="1"/>
  <c r="M49" i="1"/>
  <c r="L49" i="1"/>
  <c r="K49" i="1"/>
  <c r="G29" i="1"/>
  <c r="G27" i="1"/>
  <c r="G26" i="1"/>
  <c r="G25" i="1"/>
  <c r="Q30" i="1"/>
  <c r="P30" i="1"/>
  <c r="O30" i="1"/>
  <c r="N30" i="1"/>
  <c r="M30" i="1"/>
  <c r="L30" i="1"/>
  <c r="K30" i="1"/>
  <c r="Q29" i="1"/>
  <c r="P29" i="1"/>
  <c r="O29" i="1"/>
  <c r="N29" i="1"/>
  <c r="M29" i="1"/>
  <c r="L29" i="1"/>
  <c r="K29" i="1"/>
  <c r="Q28" i="1"/>
  <c r="P28" i="1"/>
  <c r="O28" i="1"/>
  <c r="N28" i="1"/>
  <c r="M28" i="1"/>
  <c r="L28" i="1"/>
  <c r="K28" i="1"/>
  <c r="Q27" i="1"/>
  <c r="P27" i="1"/>
  <c r="O27" i="1"/>
  <c r="N27" i="1"/>
  <c r="M27" i="1"/>
  <c r="L27" i="1"/>
  <c r="K27" i="1"/>
  <c r="Q26" i="1"/>
  <c r="P26" i="1"/>
  <c r="O26" i="1"/>
  <c r="N26" i="1"/>
  <c r="M26" i="1"/>
  <c r="L26" i="1"/>
  <c r="K26" i="1"/>
  <c r="Q25" i="1"/>
  <c r="P25" i="1"/>
  <c r="O25" i="1"/>
  <c r="N25" i="1"/>
  <c r="M25" i="1"/>
  <c r="L25" i="1"/>
  <c r="K25" i="1"/>
  <c r="N17" i="1"/>
  <c r="N16" i="1"/>
  <c r="N14" i="1"/>
  <c r="N13" i="1"/>
  <c r="N11" i="1"/>
  <c r="N10" i="1"/>
  <c r="N9" i="1"/>
  <c r="B70" i="1"/>
  <c r="B69" i="1"/>
  <c r="B67" i="1"/>
  <c r="B66" i="1"/>
  <c r="B64" i="1"/>
  <c r="B63" i="1"/>
  <c r="B62" i="1"/>
  <c r="B60" i="1"/>
  <c r="B59" i="1"/>
  <c r="B58" i="1"/>
  <c r="B57" i="1"/>
  <c r="B56" i="1"/>
  <c r="B53" i="1"/>
  <c r="E49" i="1"/>
  <c r="D49" i="1"/>
  <c r="C49" i="1"/>
  <c r="E48" i="1"/>
  <c r="D48" i="1"/>
  <c r="C48" i="1"/>
  <c r="E46" i="1"/>
  <c r="D46" i="1"/>
  <c r="C46" i="1"/>
  <c r="E45" i="1"/>
  <c r="D45" i="1"/>
  <c r="C45" i="1"/>
  <c r="E44" i="1"/>
  <c r="D44" i="1"/>
  <c r="C44" i="1"/>
  <c r="B44" i="1"/>
  <c r="E43" i="1"/>
  <c r="D43" i="1"/>
  <c r="C43" i="1"/>
  <c r="B43" i="1"/>
  <c r="E42" i="1"/>
  <c r="D42" i="1"/>
  <c r="C42" i="1"/>
  <c r="B42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2" i="1"/>
  <c r="D32" i="1"/>
  <c r="C32" i="1"/>
  <c r="E31" i="1"/>
  <c r="D31" i="1"/>
  <c r="C31" i="1"/>
  <c r="B31" i="1"/>
  <c r="G13" i="1"/>
  <c r="G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<sst xmlns="http://schemas.openxmlformats.org/spreadsheetml/2006/main" count="165" uniqueCount="147">
  <si>
    <t>NETFLIX, INC. - DCF VALUATION MODEL</t>
  </si>
  <si>
    <t>3-Year Projection with Scenario Analysis &amp; Sensitivity Tables</t>
  </si>
  <si>
    <t>KEY ASSUMPTIONS &amp; DRIVERS</t>
  </si>
  <si>
    <t>Valuation Date</t>
  </si>
  <si>
    <t>Source: Valuation as of year-end 2024</t>
  </si>
  <si>
    <t>2024 Revenue ($mm)</t>
  </si>
  <si>
    <t>($mm)</t>
  </si>
  <si>
    <t>Source: Company estimates, FY2024 base</t>
  </si>
  <si>
    <t>Revenue Growth Rates</t>
  </si>
  <si>
    <t>Bear</t>
  </si>
  <si>
    <t>Base</t>
  </si>
  <si>
    <t>Bull</t>
  </si>
  <si>
    <t xml:space="preserve">  2025E</t>
  </si>
  <si>
    <t xml:space="preserve">  2026E</t>
  </si>
  <si>
    <t xml:space="preserve">  2027E</t>
  </si>
  <si>
    <t>EBITDA Margin</t>
  </si>
  <si>
    <t xml:space="preserve">  2025E-2027E</t>
  </si>
  <si>
    <t>Selected Scenario</t>
  </si>
  <si>
    <t>Change to Bear or Bull for scenarios</t>
  </si>
  <si>
    <t>WACC Components</t>
  </si>
  <si>
    <t>Value</t>
  </si>
  <si>
    <t>Risk-Free Rate</t>
  </si>
  <si>
    <t>10Y Treasury</t>
  </si>
  <si>
    <t>Equity Risk Premium</t>
  </si>
  <si>
    <t>Historical avg</t>
  </si>
  <si>
    <t>Beta</t>
  </si>
  <si>
    <t>Bloomberg</t>
  </si>
  <si>
    <t>Cost of Equity</t>
  </si>
  <si>
    <t>Cost of Debt (after-tax)</t>
  </si>
  <si>
    <t>Target D/E Ratio</t>
  </si>
  <si>
    <t>WACC</t>
  </si>
  <si>
    <t>Terminal Growth Rate</t>
  </si>
  <si>
    <t>Long-term GDP</t>
  </si>
  <si>
    <t>Tax Rate</t>
  </si>
  <si>
    <t>Free Cash Flow Assumptions</t>
  </si>
  <si>
    <t>% of Revenue</t>
  </si>
  <si>
    <t>D&amp;A / Revenue</t>
  </si>
  <si>
    <t>CapEx / Revenue</t>
  </si>
  <si>
    <t>Δ NWC / Δ Revenue</t>
  </si>
  <si>
    <t>Other Assumptions</t>
  </si>
  <si>
    <t>Shares Outstanding (mm)</t>
  </si>
  <si>
    <t>Current shares</t>
  </si>
  <si>
    <t>Net Debt ($mm)</t>
  </si>
  <si>
    <t>Debt - Cash</t>
  </si>
  <si>
    <t>Current Stock Price</t>
  </si>
  <si>
    <t>Market reference</t>
  </si>
  <si>
    <t>FINANCIAL PROJECTIONS &amp; DCF VALUATION</t>
  </si>
  <si>
    <t>$ in millions</t>
  </si>
  <si>
    <t>Income Statement</t>
  </si>
  <si>
    <t>2024A</t>
  </si>
  <si>
    <t>2025E</t>
  </si>
  <si>
    <t>2026E</t>
  </si>
  <si>
    <t>2027E</t>
  </si>
  <si>
    <t>Revenue</t>
  </si>
  <si>
    <t xml:space="preserve">  Y/Y Growth %</t>
  </si>
  <si>
    <t>EBITDA</t>
  </si>
  <si>
    <t xml:space="preserve">  EBITDA Margin %</t>
  </si>
  <si>
    <t>Less: D&amp;A</t>
  </si>
  <si>
    <t>EBIT</t>
  </si>
  <si>
    <t>Less: Taxes</t>
  </si>
  <si>
    <t>NOPAT</t>
  </si>
  <si>
    <t>Free Cash Flow</t>
  </si>
  <si>
    <t>Add: D&amp;A</t>
  </si>
  <si>
    <t>Less: CapEx</t>
  </si>
  <si>
    <t>Less: Δ NWC</t>
  </si>
  <si>
    <t>Unlevered FCF</t>
  </si>
  <si>
    <t>PV Factor</t>
  </si>
  <si>
    <t>PV of FCF</t>
  </si>
  <si>
    <t>DCF VALUATION SUMMARY</t>
  </si>
  <si>
    <t>Sum of PV of Forecast FCF</t>
  </si>
  <si>
    <t>Terminal Value Calculation</t>
  </si>
  <si>
    <t>Terminal Year FCF</t>
  </si>
  <si>
    <t>Terminal Value</t>
  </si>
  <si>
    <t>PV of Terminal Value</t>
  </si>
  <si>
    <t>Enterprise Value</t>
  </si>
  <si>
    <t>Less: Net Debt</t>
  </si>
  <si>
    <t>Equity Value</t>
  </si>
  <si>
    <t>Implied Share Price</t>
  </si>
  <si>
    <t>Upside / (Downside)</t>
  </si>
  <si>
    <t>SCENARIO ANALYSIS</t>
  </si>
  <si>
    <t>Change cell B16 to switch scenarios</t>
  </si>
  <si>
    <t>Metric</t>
  </si>
  <si>
    <t>Current</t>
  </si>
  <si>
    <t>2027E Revenue ($mm)</t>
  </si>
  <si>
    <t>2027E EBITDA ($mm)</t>
  </si>
  <si>
    <t>2027E FCF ($mm)</t>
  </si>
  <si>
    <t>Enterprise Value ($mm)</t>
  </si>
  <si>
    <t>Equity Value ($mm)</t>
  </si>
  <si>
    <t>vs. Current ($650)</t>
  </si>
  <si>
    <t>SENSITIVITY TABLE #1: WACC vs Terminal Growth Rate</t>
  </si>
  <si>
    <t>Implied Share Price ($)</t>
  </si>
  <si>
    <t>Terminal Growth →</t>
  </si>
  <si>
    <t>WACC ↓</t>
  </si>
  <si>
    <t>SENSITIVITY TABLE #2: 2025E Revenue Growth vs EBITDA Margin</t>
  </si>
  <si>
    <t>Implied Share Price ($) - Base Case Growth Assumptions</t>
  </si>
  <si>
    <t>2025E Rev Growth →</t>
  </si>
  <si>
    <t>EBITDA Margin ↓</t>
  </si>
  <si>
    <t>VALUATION SUMMARY DASHBOARD</t>
  </si>
  <si>
    <t>Key Outputs &amp; Investment Recommendation</t>
  </si>
  <si>
    <t>Valuation Multiples</t>
  </si>
  <si>
    <t>Implied EV/2025E EBITDA</t>
  </si>
  <si>
    <t>Implied EV/2026E EBITDA</t>
  </si>
  <si>
    <t>Implied EV/2027E EBITDA</t>
  </si>
  <si>
    <t>Implied P/E (2027E)</t>
  </si>
  <si>
    <t>MODEL NOTES &amp; ASSUMPTIONS</t>
  </si>
  <si>
    <t>Color Coding Guide:</t>
  </si>
  <si>
    <t>Blue Text</t>
  </si>
  <si>
    <t>Black Text</t>
  </si>
  <si>
    <t>KEY DRIVERS ANALYSIS</t>
  </si>
  <si>
    <t>CAGR</t>
  </si>
  <si>
    <t>Revenue ($mm)</t>
  </si>
  <si>
    <t>EBITDA ($mm)</t>
  </si>
  <si>
    <t>FCF ($mm)</t>
  </si>
  <si>
    <t>Investment Recommendation</t>
  </si>
  <si>
    <t>Current Price:</t>
  </si>
  <si>
    <t>Fair Value (Base):</t>
  </si>
  <si>
    <t>Upside/(Downside):</t>
  </si>
  <si>
    <t>Yellow Highlight</t>
  </si>
  <si>
    <t>Key Assumptions:</t>
  </si>
  <si>
    <t>Base Case:</t>
  </si>
  <si>
    <t>10% revenue growth 2025, 28% EBITDA margin</t>
  </si>
  <si>
    <t>Bear Case:</t>
  </si>
  <si>
    <t>8% revenue growth 2025, 24% EBITDA margin</t>
  </si>
  <si>
    <t>Bull Case:</t>
  </si>
  <si>
    <t>14% revenue growth 2025, 32% EBITDA margin</t>
  </si>
  <si>
    <t>WACC:</t>
  </si>
  <si>
    <t>10.9% (12% CoE, 3.5% CoD)</t>
  </si>
  <si>
    <t>HOW TO USE THIS MODEL</t>
  </si>
  <si>
    <t>1. Scenario Analysis:</t>
  </si>
  <si>
    <t xml:space="preserve">   Change cell B16 to 'Bear', 'Base', or 'Bull'</t>
  </si>
  <si>
    <t xml:space="preserve">   All calculations update automatically</t>
  </si>
  <si>
    <t>2. Custom Assumptions:</t>
  </si>
  <si>
    <t xml:space="preserve">   Modify blue cells (B5-D14) for custom inputs</t>
  </si>
  <si>
    <t xml:space="preserve">   Adjust WACC components (F6-F12)</t>
  </si>
  <si>
    <t>3. Sensitivity Tables:</t>
  </si>
  <si>
    <t>MODEL SUMMARY</t>
  </si>
  <si>
    <t>This DCF model values Netflix using:</t>
  </si>
  <si>
    <t>• 3-year explicit forecast period (2025-2027)</t>
  </si>
  <si>
    <t>• Gordon Growth terminal value methodology</t>
  </si>
  <si>
    <t>• Three scenario cases (Bear, Base, Bull)</t>
  </si>
  <si>
    <t>• Sensitivity analysis on key value drivers</t>
  </si>
  <si>
    <t>INVESTMENT THESIS</t>
  </si>
  <si>
    <t>Base Case Valuation:</t>
  </si>
  <si>
    <t>Implied Return:</t>
  </si>
  <si>
    <t>Valuation Range:</t>
  </si>
  <si>
    <t>Bear to Bull:</t>
  </si>
  <si>
    <t>$154 - $256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</si>
</sst>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&quot;€&quot;#,##0"/>
    <numFmt numFmtId="165" formatCode="0.0%"/>
    <numFmt numFmtId="166" formatCode="&quot;€&quot;#,##0;\(&quot;€&quot;#,##0\);\-"/>
    <numFmt numFmtId="167" formatCode="0.0%;\(0.0%\);\-"/>
    <numFmt numFmtId="168" formatCode="0.000;\(0.000\);\-"/>
    <numFmt numFmtId="169" formatCode="#,##0;\(#,##0\);\-"/>
    <numFmt numFmtId="170" formatCode="0.0\x"/>
  </numFmts>
  <fonts count="1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sz val="11"/>
      <color rgb="FF0000FF"/>
      <name val="Aptos Narrow"/>
      <family val="2"/>
      <scheme val="minor"/>
    </font>
    <font>
      <sz val="9"/>
      <color theme="1"/>
      <name val="Aptos Narrow"/>
      <family val="2"/>
      <scheme val="minor"/>
    </font>
    <font>
      <i/>
      <sz val="9"/>
      <color theme="1"/>
      <name val="Aptos Narrow"/>
      <family val="2"/>
      <scheme val="minor"/>
    </font>
    <font>
      <b/>
      <sz val="11"/>
      <color rgb="FF0000FF"/>
      <name val="Aptos Narrow"/>
      <family val="2"/>
      <scheme val="minor"/>
    </font>
    <font>
      <b/>
      <i/>
      <sz val="9"/>
      <color theme="1"/>
      <name val="Aptos Narrow"/>
      <family val="2"/>
      <scheme val="minor"/>
    </font>
    <font>
      <b/>
      <i/>
      <sz val="10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0"/>
      <color rgb="FFFFFFFF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60000"/>
        <bgColor indexed="64"/>
      </patternFill>
    </fill>
    <fill>
      <patternFill patternType="solid">
        <fgColor rgb="FF4A4A4A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7E6E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2" borderId="0" xfId="0" applyFont="1" applyFill="1" applyAlignment="1">
      <alignment horizontal="center"/>
    </xf>
    <xf numFmtId="0" fontId="3" fillId="3" borderId="0" xfId="0" applyFont="1" applyFill="1"/>
    <xf numFmtId="0" fontId="3" fillId="3" borderId="0" xfId="0" applyFont="1" applyFill="1" applyAlignment="1">
      <alignment horizontal="center"/>
    </xf>
    <xf numFmtId="0" fontId="4" fillId="3" borderId="0" xfId="0" applyFont="1" applyFill="1"/>
    <xf numFmtId="0" fontId="1" fillId="0" borderId="0" xfId="0" applyFont="1"/>
    <xf numFmtId="14" fontId="5" fillId="0" borderId="0" xfId="0" applyNumberFormat="1" applyFont="1"/>
    <xf numFmtId="0" fontId="6" fillId="0" borderId="0" xfId="0" applyFont="1"/>
    <xf numFmtId="0" fontId="7" fillId="0" borderId="0" xfId="0" applyFont="1"/>
    <xf numFmtId="164" fontId="5" fillId="0" borderId="0" xfId="0" applyNumberFormat="1" applyFont="1"/>
    <xf numFmtId="0" fontId="1" fillId="4" borderId="0" xfId="0" applyFont="1" applyFill="1"/>
    <xf numFmtId="0" fontId="1" fillId="4" borderId="0" xfId="0" applyFont="1" applyFill="1" applyAlignment="1">
      <alignment horizontal="center"/>
    </xf>
    <xf numFmtId="165" fontId="5" fillId="0" borderId="0" xfId="0" applyNumberFormat="1" applyFont="1"/>
    <xf numFmtId="165" fontId="5" fillId="5" borderId="0" xfId="0" applyNumberFormat="1" applyFont="1" applyFill="1"/>
    <xf numFmtId="11" fontId="1" fillId="0" borderId="0" xfId="0" applyNumberFormat="1" applyFont="1"/>
    <xf numFmtId="0" fontId="1" fillId="5" borderId="0" xfId="0" applyFont="1" applyFill="1"/>
    <xf numFmtId="0" fontId="8" fillId="0" borderId="0" xfId="0" applyFont="1"/>
    <xf numFmtId="0" fontId="8" fillId="5" borderId="0" xfId="0" applyFont="1" applyFill="1"/>
    <xf numFmtId="2" fontId="5" fillId="0" borderId="0" xfId="0" applyNumberFormat="1" applyFont="1"/>
    <xf numFmtId="0" fontId="9" fillId="4" borderId="0" xfId="0" applyFont="1" applyFill="1" applyAlignment="1">
      <alignment horizontal="center"/>
    </xf>
    <xf numFmtId="165" fontId="0" fillId="0" borderId="0" xfId="0" applyNumberFormat="1"/>
    <xf numFmtId="165" fontId="1" fillId="5" borderId="0" xfId="0" applyNumberFormat="1" applyFont="1" applyFill="1"/>
    <xf numFmtId="165" fontId="8" fillId="5" borderId="0" xfId="0" applyNumberFormat="1" applyFont="1" applyFill="1"/>
    <xf numFmtId="3" fontId="5" fillId="0" borderId="0" xfId="0" applyNumberFormat="1" applyFont="1"/>
    <xf numFmtId="0" fontId="10" fillId="0" borderId="0" xfId="0" applyFont="1"/>
    <xf numFmtId="166" fontId="0" fillId="0" borderId="0" xfId="0" applyNumberFormat="1"/>
    <xf numFmtId="0" fontId="11" fillId="0" borderId="0" xfId="0" applyFont="1"/>
    <xf numFmtId="167" fontId="0" fillId="0" borderId="0" xfId="0" applyNumberFormat="1"/>
    <xf numFmtId="0" fontId="0" fillId="4" borderId="0" xfId="0" applyFill="1"/>
    <xf numFmtId="166" fontId="0" fillId="5" borderId="0" xfId="0" applyNumberFormat="1" applyFill="1"/>
    <xf numFmtId="166" fontId="1" fillId="0" borderId="0" xfId="0" applyNumberFormat="1" applyFont="1"/>
    <xf numFmtId="166" fontId="1" fillId="5" borderId="0" xfId="0" applyNumberFormat="1" applyFont="1" applyFill="1"/>
    <xf numFmtId="168" fontId="0" fillId="0" borderId="0" xfId="0" applyNumberFormat="1"/>
    <xf numFmtId="169" fontId="0" fillId="0" borderId="0" xfId="0" applyNumberFormat="1"/>
    <xf numFmtId="0" fontId="12" fillId="5" borderId="0" xfId="0" applyFont="1" applyFill="1"/>
    <xf numFmtId="166" fontId="12" fillId="5" borderId="0" xfId="0" applyNumberFormat="1" applyFont="1" applyFill="1"/>
    <xf numFmtId="167" fontId="1" fillId="0" borderId="0" xfId="0" applyNumberFormat="1" applyFont="1"/>
    <xf numFmtId="0" fontId="1" fillId="5" borderId="0" xfId="0" applyFont="1" applyFill="1" applyAlignment="1">
      <alignment horizontal="center"/>
    </xf>
    <xf numFmtId="166" fontId="1" fillId="4" borderId="0" xfId="0" applyNumberFormat="1" applyFont="1" applyFill="1"/>
    <xf numFmtId="167" fontId="0" fillId="5" borderId="0" xfId="0" applyNumberFormat="1" applyFill="1"/>
    <xf numFmtId="0" fontId="1" fillId="6" borderId="0" xfId="0" applyFont="1" applyFill="1"/>
    <xf numFmtId="10" fontId="1" fillId="6" borderId="0" xfId="0" applyNumberFormat="1" applyFont="1" applyFill="1"/>
    <xf numFmtId="10" fontId="1" fillId="6" borderId="0" xfId="0" applyNumberFormat="1" applyFont="1" applyFill="1" applyAlignment="1">
      <alignment horizontal="center"/>
    </xf>
    <xf numFmtId="10" fontId="1" fillId="5" borderId="0" xfId="0" applyNumberFormat="1" applyFont="1" applyFill="1"/>
    <xf numFmtId="9" fontId="1" fillId="6" borderId="0" xfId="0" applyNumberFormat="1" applyFont="1" applyFill="1"/>
    <xf numFmtId="9" fontId="1" fillId="6" borderId="0" xfId="0" applyNumberFormat="1" applyFont="1" applyFill="1" applyAlignment="1">
      <alignment horizontal="center"/>
    </xf>
    <xf numFmtId="9" fontId="1" fillId="5" borderId="0" xfId="0" applyNumberFormat="1" applyFont="1" applyFill="1"/>
    <xf numFmtId="0" fontId="4" fillId="2" borderId="0" xfId="0" applyFont="1" applyFill="1" applyAlignment="1">
      <alignment horizontal="center"/>
    </xf>
    <xf numFmtId="0" fontId="13" fillId="3" borderId="0" xfId="0" applyFont="1" applyFill="1" applyAlignment="1">
      <alignment horizontal="center"/>
    </xf>
    <xf numFmtId="170" fontId="0" fillId="0" borderId="0" xfId="0" applyNumberFormat="1"/>
    <xf numFmtId="167" fontId="1" fillId="5" borderId="0" xfId="0" applyNumberFormat="1" applyFont="1" applyFill="1"/>
    <xf numFmtId="0" fontId="3" fillId="2" borderId="0" xfId="0" applyFont="1" applyFill="1"/>
    <xf numFmtId="166" fontId="14" fillId="0" borderId="0" xfId="0" applyNumberFormat="1" applyFont="1"/>
    <xf numFmtId="167" fontId="1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8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E3D4987-6D70-412D-BBE2-55B76F071381}">
  <we:reference id="wa200009404" version="1.0.0.3" store="en-US" storeType="OMEX"/>
  <we:alternateReferences>
    <we:reference id="WA200009404" version="1.0.0.3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1517A-B8A9-4E20-8D1D-46170091D276}">
  <dimension ref="A1:Q90"/>
  <sheetViews>
    <sheetView showGridLines="0" tabSelected="1" zoomScale="85" zoomScaleNormal="85" workbookViewId="0">
      <selection activeCell="H20" sqref="H20"/>
    </sheetView>
  </sheetViews>
  <sheetFormatPr defaultRowHeight="14.4" outlineLevelRow="3" outlineLevelCol="3" x14ac:dyDescent="0.3"/>
  <cols>
    <col min="1" max="1" width="50.88671875" customWidth="1"/>
    <col min="2" max="2" width="12.109375" customWidth="1"/>
    <col min="5" max="5" width="24" customWidth="1"/>
    <col min="6" max="6" width="21.44140625" bestFit="1" customWidth="1"/>
    <col min="9" max="9" width="2.88671875" customWidth="1" outlineLevel="3" collapsed="1"/>
    <col min="10" max="10" width="55.88671875" bestFit="1" customWidth="1" outlineLevel="3" collapsed="1"/>
    <col min="11" max="16384" width="8.88671875" outlineLevel="3" collapsed="1"/>
  </cols>
  <sheetData>
    <row r="1" spans="1:14" ht="18" x14ac:dyDescent="0.35">
      <c r="A1" s="1" t="s">
        <v>0</v>
      </c>
      <c r="J1" s="47" t="s">
        <v>97</v>
      </c>
      <c r="K1">
        <v>4.3</v>
      </c>
      <c r="L1">
        <v>4.3</v>
      </c>
      <c r="M1">
        <v>4.3</v>
      </c>
      <c r="N1">
        <v>4.3</v>
      </c>
    </row>
    <row r="2" spans="1:14" x14ac:dyDescent="0.3">
      <c r="A2" s="3" t="s">
        <v>1</v>
      </c>
      <c r="J2" s="48" t="s">
        <v>98</v>
      </c>
      <c r="K2">
        <v>4.3</v>
      </c>
      <c r="L2">
        <v>4.3</v>
      </c>
      <c r="M2">
        <v>4.3</v>
      </c>
      <c r="N2">
        <v>4.3</v>
      </c>
    </row>
    <row r="4" spans="1:14" ht="15.6" x14ac:dyDescent="0.3">
      <c r="A4" s="4" t="s">
        <v>2</v>
      </c>
      <c r="J4" s="4" t="s">
        <v>79</v>
      </c>
      <c r="K4">
        <v>4.3</v>
      </c>
      <c r="L4">
        <v>4.3</v>
      </c>
      <c r="M4">
        <v>4.3</v>
      </c>
      <c r="N4">
        <v>4.3</v>
      </c>
    </row>
    <row r="5" spans="1:14" x14ac:dyDescent="0.3">
      <c r="A5" s="5" t="s">
        <v>3</v>
      </c>
      <c r="B5" s="6">
        <v>45657</v>
      </c>
      <c r="D5" s="8" t="s">
        <v>4</v>
      </c>
      <c r="F5" s="10" t="s">
        <v>19</v>
      </c>
      <c r="G5" s="11" t="s">
        <v>20</v>
      </c>
      <c r="J5" s="8" t="s">
        <v>80</v>
      </c>
      <c r="K5">
        <v>4.3</v>
      </c>
      <c r="L5">
        <v>4.3</v>
      </c>
      <c r="M5">
        <v>4.3</v>
      </c>
      <c r="N5">
        <v>4.3</v>
      </c>
    </row>
    <row r="6" spans="1:14" x14ac:dyDescent="0.3">
      <c r="A6" s="5" t="s">
        <v>5</v>
      </c>
      <c r="B6" s="9">
        <v>35000</v>
      </c>
      <c r="C6" s="7" t="s">
        <v>6</v>
      </c>
      <c r="D6" s="8" t="s">
        <v>7</v>
      </c>
      <c r="F6" s="5" t="s">
        <v>21</v>
      </c>
      <c r="G6" s="12">
        <v>4.2000000000000003E-2</v>
      </c>
      <c r="H6" s="8" t="s">
        <v>22</v>
      </c>
      <c r="J6">
        <v>4.3</v>
      </c>
      <c r="K6">
        <v>4.3</v>
      </c>
      <c r="L6">
        <v>4.3</v>
      </c>
      <c r="M6">
        <v>4.3</v>
      </c>
      <c r="N6">
        <v>4.3</v>
      </c>
    </row>
    <row r="7" spans="1:14" x14ac:dyDescent="0.3">
      <c r="F7" s="5" t="s">
        <v>23</v>
      </c>
      <c r="G7" s="12">
        <v>6.5000000000000002E-2</v>
      </c>
      <c r="H7" s="8" t="s">
        <v>24</v>
      </c>
      <c r="J7" s="10" t="s">
        <v>81</v>
      </c>
      <c r="K7" s="11" t="s">
        <v>9</v>
      </c>
      <c r="L7" s="11" t="s">
        <v>10</v>
      </c>
      <c r="M7" s="11" t="s">
        <v>11</v>
      </c>
      <c r="N7" s="37" t="s">
        <v>82</v>
      </c>
    </row>
    <row r="8" spans="1:14" x14ac:dyDescent="0.3">
      <c r="A8" s="10" t="s">
        <v>8</v>
      </c>
      <c r="B8" s="11" t="s">
        <v>9</v>
      </c>
      <c r="C8" s="11" t="s">
        <v>10</v>
      </c>
      <c r="D8" s="11" t="s">
        <v>11</v>
      </c>
      <c r="F8" s="11" t="s">
        <v>25</v>
      </c>
      <c r="G8" s="18">
        <v>1.2</v>
      </c>
      <c r="H8" s="19" t="s">
        <v>26</v>
      </c>
      <c r="K8">
        <v>4.3</v>
      </c>
      <c r="L8">
        <v>4.3</v>
      </c>
      <c r="M8">
        <v>4.3</v>
      </c>
      <c r="N8">
        <v>4.3</v>
      </c>
    </row>
    <row r="9" spans="1:14" x14ac:dyDescent="0.3">
      <c r="A9" s="5" t="s">
        <v>12</v>
      </c>
      <c r="B9" s="12">
        <v>0.08</v>
      </c>
      <c r="C9" s="13">
        <v>0.1</v>
      </c>
      <c r="D9" s="12">
        <v>0.14000000000000001</v>
      </c>
      <c r="F9" s="5" t="s">
        <v>27</v>
      </c>
      <c r="G9" s="20">
        <f>G6+G7*G8</f>
        <v>0.12</v>
      </c>
      <c r="J9" s="5" t="s">
        <v>83</v>
      </c>
      <c r="K9" s="25">
        <v>42042</v>
      </c>
      <c r="L9" s="25">
        <v>45322</v>
      </c>
      <c r="M9" s="25">
        <v>50072</v>
      </c>
      <c r="N9" s="29">
        <f>E31</f>
        <v>45322.200000000004</v>
      </c>
    </row>
    <row r="10" spans="1:14" x14ac:dyDescent="0.3">
      <c r="A10" s="5" t="s">
        <v>13</v>
      </c>
      <c r="B10" s="12">
        <v>7.0000000000000007E-2</v>
      </c>
      <c r="C10" s="13">
        <v>0.09</v>
      </c>
      <c r="D10" s="12">
        <v>0.12</v>
      </c>
      <c r="J10" s="5" t="s">
        <v>84</v>
      </c>
      <c r="K10" s="25">
        <v>10090</v>
      </c>
      <c r="L10" s="25">
        <v>12690</v>
      </c>
      <c r="M10" s="25">
        <v>16023</v>
      </c>
      <c r="N10" s="29">
        <f>E34</f>
        <v>12690.216000000002</v>
      </c>
    </row>
    <row r="11" spans="1:14" x14ac:dyDescent="0.3">
      <c r="A11" s="5" t="s">
        <v>14</v>
      </c>
      <c r="B11" s="12">
        <v>0.06</v>
      </c>
      <c r="C11" s="13">
        <v>0.08</v>
      </c>
      <c r="D11" s="12">
        <v>0.1</v>
      </c>
      <c r="F11" s="5" t="s">
        <v>28</v>
      </c>
      <c r="G11" s="12">
        <v>3.5000000000000003E-2</v>
      </c>
      <c r="J11" s="5" t="s">
        <v>85</v>
      </c>
      <c r="K11" s="25">
        <v>6651</v>
      </c>
      <c r="L11" s="25">
        <v>8217</v>
      </c>
      <c r="M11" s="25">
        <v>10553</v>
      </c>
      <c r="N11" s="29">
        <f>E46</f>
        <v>8216.7470000000012</v>
      </c>
    </row>
    <row r="12" spans="1:14" x14ac:dyDescent="0.3">
      <c r="F12" s="5" t="s">
        <v>29</v>
      </c>
      <c r="G12" s="12">
        <v>0.15</v>
      </c>
      <c r="K12">
        <v>4.3</v>
      </c>
      <c r="L12">
        <v>4.3</v>
      </c>
      <c r="M12">
        <v>4.3</v>
      </c>
      <c r="N12">
        <v>4.3</v>
      </c>
    </row>
    <row r="13" spans="1:14" x14ac:dyDescent="0.3">
      <c r="A13" s="10" t="s">
        <v>15</v>
      </c>
      <c r="B13" s="11" t="s">
        <v>9</v>
      </c>
      <c r="C13" s="11" t="s">
        <v>10</v>
      </c>
      <c r="D13" s="11" t="s">
        <v>11</v>
      </c>
      <c r="F13" s="15" t="s">
        <v>30</v>
      </c>
      <c r="G13" s="21">
        <f>G9*(1/(1+G12))+G11*(G12/(1+G12))</f>
        <v>0.10891304347826088</v>
      </c>
      <c r="J13" s="5" t="s">
        <v>86</v>
      </c>
      <c r="K13" s="25">
        <v>78565</v>
      </c>
      <c r="L13" s="25">
        <v>97113</v>
      </c>
      <c r="M13" s="25">
        <v>122558</v>
      </c>
      <c r="N13" s="29">
        <f>B62</f>
        <v>97112.846213857731</v>
      </c>
    </row>
    <row r="14" spans="1:14" x14ac:dyDescent="0.3">
      <c r="A14" s="14" t="s">
        <v>16</v>
      </c>
      <c r="B14" s="12">
        <v>0.24</v>
      </c>
      <c r="C14" s="13">
        <v>0.28000000000000003</v>
      </c>
      <c r="D14" s="12">
        <v>0.32</v>
      </c>
      <c r="J14" s="5" t="s">
        <v>87</v>
      </c>
      <c r="K14" s="25">
        <v>66065</v>
      </c>
      <c r="L14" s="25">
        <v>84613</v>
      </c>
      <c r="M14" s="25">
        <v>110058</v>
      </c>
      <c r="N14" s="29">
        <f>B64</f>
        <v>84612.846213857731</v>
      </c>
    </row>
    <row r="15" spans="1:14" x14ac:dyDescent="0.3">
      <c r="F15" s="15" t="s">
        <v>31</v>
      </c>
      <c r="G15" s="22">
        <v>0.03</v>
      </c>
      <c r="H15" s="8" t="s">
        <v>32</v>
      </c>
      <c r="K15">
        <v>4.3</v>
      </c>
      <c r="L15">
        <v>4.3</v>
      </c>
      <c r="M15">
        <v>4.3</v>
      </c>
      <c r="N15">
        <v>4.3</v>
      </c>
    </row>
    <row r="16" spans="1:14" x14ac:dyDescent="0.3">
      <c r="A16" s="15" t="s">
        <v>17</v>
      </c>
      <c r="B16" s="17" t="s">
        <v>10</v>
      </c>
      <c r="D16" s="8" t="s">
        <v>18</v>
      </c>
      <c r="F16" s="5" t="s">
        <v>33</v>
      </c>
      <c r="G16" s="12">
        <v>0.22</v>
      </c>
      <c r="J16" s="10" t="s">
        <v>77</v>
      </c>
      <c r="K16" s="38">
        <v>154</v>
      </c>
      <c r="L16" s="38">
        <v>197</v>
      </c>
      <c r="M16" s="38">
        <v>256</v>
      </c>
      <c r="N16" s="31">
        <f>B67</f>
        <v>196.77406096245983</v>
      </c>
    </row>
    <row r="17" spans="1:17" x14ac:dyDescent="0.3">
      <c r="J17" t="s">
        <v>88</v>
      </c>
      <c r="K17" s="27">
        <v>-0.76400000000000001</v>
      </c>
      <c r="L17" s="27">
        <v>-0.69699999999999995</v>
      </c>
      <c r="M17" s="27">
        <v>-0.60699999999999998</v>
      </c>
      <c r="N17" s="39">
        <f>B70</f>
        <v>-0.69727067544236943</v>
      </c>
      <c r="O17">
        <v>4.3</v>
      </c>
      <c r="P17">
        <v>4.3</v>
      </c>
      <c r="Q17">
        <v>4.3</v>
      </c>
    </row>
    <row r="18" spans="1:17" x14ac:dyDescent="0.3">
      <c r="A18" s="10" t="s">
        <v>34</v>
      </c>
      <c r="B18" s="11" t="s">
        <v>35</v>
      </c>
      <c r="K18">
        <v>4.3</v>
      </c>
      <c r="L18">
        <v>4.3</v>
      </c>
      <c r="M18">
        <v>4.3</v>
      </c>
      <c r="N18">
        <v>4.3</v>
      </c>
      <c r="O18">
        <v>4.3</v>
      </c>
      <c r="P18">
        <v>4.3</v>
      </c>
      <c r="Q18">
        <v>4.3</v>
      </c>
    </row>
    <row r="19" spans="1:17" x14ac:dyDescent="0.3">
      <c r="A19" s="5" t="s">
        <v>36</v>
      </c>
      <c r="B19" s="12">
        <v>0.03</v>
      </c>
      <c r="J19">
        <v>4.3</v>
      </c>
      <c r="K19">
        <v>4.3</v>
      </c>
      <c r="L19">
        <v>4.3</v>
      </c>
      <c r="M19">
        <v>4.3</v>
      </c>
      <c r="N19">
        <v>4.3</v>
      </c>
      <c r="O19">
        <v>4.3</v>
      </c>
      <c r="P19">
        <v>4.3</v>
      </c>
      <c r="Q19">
        <v>4.3</v>
      </c>
    </row>
    <row r="20" spans="1:17" x14ac:dyDescent="0.3">
      <c r="A20" s="5" t="s">
        <v>37</v>
      </c>
      <c r="B20" s="12">
        <v>0.04</v>
      </c>
      <c r="J20" s="2" t="s">
        <v>89</v>
      </c>
      <c r="K20">
        <v>4.3</v>
      </c>
      <c r="L20">
        <v>4.3</v>
      </c>
      <c r="M20">
        <v>4.3</v>
      </c>
      <c r="N20">
        <v>4.3</v>
      </c>
      <c r="O20">
        <v>4.3</v>
      </c>
      <c r="P20">
        <v>4.3</v>
      </c>
      <c r="Q20">
        <v>4.3</v>
      </c>
    </row>
    <row r="21" spans="1:17" x14ac:dyDescent="0.3">
      <c r="A21" s="5" t="s">
        <v>38</v>
      </c>
      <c r="B21" s="12">
        <v>0.05</v>
      </c>
      <c r="J21" s="10" t="s">
        <v>90</v>
      </c>
      <c r="K21">
        <v>4.3</v>
      </c>
      <c r="L21">
        <v>4.3</v>
      </c>
      <c r="M21">
        <v>4.3</v>
      </c>
      <c r="N21">
        <v>4.3</v>
      </c>
      <c r="O21">
        <v>4.3</v>
      </c>
      <c r="P21">
        <v>4.3</v>
      </c>
      <c r="Q21">
        <v>4.3</v>
      </c>
    </row>
    <row r="23" spans="1:17" x14ac:dyDescent="0.3">
      <c r="A23" s="10" t="s">
        <v>39</v>
      </c>
      <c r="J23" s="40" t="s">
        <v>91</v>
      </c>
      <c r="K23" s="42">
        <v>0.02</v>
      </c>
      <c r="L23" s="42">
        <v>2.5000000000000001E-2</v>
      </c>
      <c r="M23" s="42">
        <v>0.03</v>
      </c>
      <c r="N23" s="42">
        <v>3.5000000000000003E-2</v>
      </c>
      <c r="O23" s="42">
        <v>0.04</v>
      </c>
      <c r="P23" s="42">
        <v>4.4999999999999998E-2</v>
      </c>
      <c r="Q23" s="42">
        <v>0.05</v>
      </c>
    </row>
    <row r="24" spans="1:17" x14ac:dyDescent="0.3">
      <c r="A24" s="5" t="s">
        <v>40</v>
      </c>
      <c r="B24" s="23">
        <v>430</v>
      </c>
      <c r="C24" s="8" t="s">
        <v>41</v>
      </c>
      <c r="F24" s="10" t="s">
        <v>99</v>
      </c>
      <c r="J24" s="40" t="s">
        <v>92</v>
      </c>
      <c r="K24">
        <v>4.3</v>
      </c>
      <c r="L24">
        <v>4.3</v>
      </c>
      <c r="M24">
        <v>4.3</v>
      </c>
      <c r="N24">
        <v>4.3</v>
      </c>
      <c r="O24">
        <v>4.3</v>
      </c>
      <c r="P24">
        <v>4.3</v>
      </c>
      <c r="Q24">
        <v>4.3</v>
      </c>
    </row>
    <row r="25" spans="1:17" x14ac:dyDescent="0.3">
      <c r="A25" s="5" t="s">
        <v>42</v>
      </c>
      <c r="B25" s="9">
        <v>12500</v>
      </c>
      <c r="C25" s="8" t="s">
        <v>43</v>
      </c>
      <c r="F25" t="s">
        <v>100</v>
      </c>
      <c r="G25" s="49">
        <f>B62/C34</f>
        <v>9.0086128213226075</v>
      </c>
      <c r="J25" s="41">
        <v>8.5000000000000006E-2</v>
      </c>
      <c r="K25" s="25">
        <f>((SUM(C49:E49)+((E46*(1+K$23))/(0.085-K$23))*E48)-$B$25)/$B$24</f>
        <v>233.76857552896593</v>
      </c>
      <c r="L25" s="25">
        <f>((SUM(C49:E49)+((E46*(1+L$23))/(0.085-L$23))*E48)-$B$25)/$B$24</f>
        <v>253.26137070019621</v>
      </c>
      <c r="M25" s="25">
        <f>((SUM(C49:E49)+((E46*(1+M$23))/(0.085-M$23))*E48)-$B$25)/$B$24</f>
        <v>276.29831044801386</v>
      </c>
      <c r="N25" s="25">
        <f>((SUM(C49:E49)+((E46*(1+N$23))/(0.085-N$23))*E48)-$B$25)/$B$24</f>
        <v>303.94263814539505</v>
      </c>
      <c r="O25" s="25">
        <f>((SUM(C49:E49)+((E46*(1+O$23))/(0.085-O$23))*E48)-$B$25)/$B$24</f>
        <v>337.73014977552748</v>
      </c>
      <c r="P25" s="25">
        <f>((SUM(C49:E49)+((E46*(1+P$23))/(0.085-P$23))*E48)-$B$25)/$B$24</f>
        <v>379.96453931319326</v>
      </c>
      <c r="Q25" s="25">
        <f>((SUM(C49:E49)+((E46*(1+Q$23))/(0.085-Q$23))*E48)-$B$25)/$B$24</f>
        <v>434.26589729019202</v>
      </c>
    </row>
    <row r="26" spans="1:17" x14ac:dyDescent="0.3">
      <c r="A26" s="5" t="s">
        <v>44</v>
      </c>
      <c r="B26" s="9">
        <v>650</v>
      </c>
      <c r="C26" s="8" t="s">
        <v>45</v>
      </c>
      <c r="F26" t="s">
        <v>101</v>
      </c>
      <c r="G26" s="49">
        <f>B62/D34</f>
        <v>8.2647824048831282</v>
      </c>
      <c r="J26" s="41">
        <v>9.5000000000000001E-2</v>
      </c>
      <c r="K26" s="25">
        <f>((SUM(C49:E49)+((E46*(1+K$23))/(0.095-K$23))*E48)-$B$25)/$B$24</f>
        <v>204.44853707786189</v>
      </c>
      <c r="L26" s="25">
        <f>((SUM(C49:E49)+((E46*(1+L$23))/(0.095-L$23))*E48)-$B$25)/$B$24</f>
        <v>219.06235876383752</v>
      </c>
      <c r="M26" s="25">
        <f>((SUM(C49:E49)+((E46*(1+M$23))/(0.095-M$23))*E48)-$B$25)/$B$24</f>
        <v>235.92446070919416</v>
      </c>
      <c r="N26" s="25">
        <f>((SUM(C49:E49)+((E46*(1+N$23))/(0.095-N$23))*E48)-$B$25)/$B$24</f>
        <v>255.59691297877683</v>
      </c>
      <c r="O26" s="25">
        <f>((SUM(C49:E49)+((E46*(1+O$23))/(0.095-O$23))*E48)-$B$25)/$B$24</f>
        <v>278.84617475191993</v>
      </c>
      <c r="P26" s="25">
        <f>((SUM(C49:E49)+((E46*(1+P$23))/(0.095-P$23))*E48)-$B$25)/$B$24</f>
        <v>306.74528887969177</v>
      </c>
      <c r="Q26" s="25">
        <f>((SUM(C49:E49)+((E46*(1+Q$23))/(0.095-Q$23))*E48)-$B$25)/$B$24</f>
        <v>340.84420614696842</v>
      </c>
    </row>
    <row r="27" spans="1:17" x14ac:dyDescent="0.3">
      <c r="F27" t="s">
        <v>102</v>
      </c>
      <c r="G27" s="49">
        <f>B62/E34</f>
        <v>7.6525763008177101</v>
      </c>
      <c r="J27" s="41">
        <v>0.105</v>
      </c>
      <c r="K27" s="25">
        <f>((SUM(C49:E49)+((E46*(1+K$23))/(0.105-K$23))*E48)-$B$25)/$B$24</f>
        <v>182.02733120348822</v>
      </c>
      <c r="L27" s="25">
        <f>((SUM(C49:E49)+((E46*(1+L$23))/(0.105-L$23))*E48)-$B$25)/$B$24</f>
        <v>193.41309981156854</v>
      </c>
      <c r="M27" s="25">
        <f>((SUM(C49:E49)+((E46*(1+M$23))/(0.105-M$23))*E48)-$B$25)/$B$24</f>
        <v>206.31697090072637</v>
      </c>
      <c r="N27" s="25">
        <f>((SUM(C49:E49)+((E46*(1+N$23))/(0.105-N$23))*E48)-$B$25)/$B$24</f>
        <v>221.06425214547806</v>
      </c>
      <c r="O27" s="25">
        <f>((SUM(C49:E49)+((E46*(1+O$23))/(0.105-O$23))*E48)-$B$25)/$B$24</f>
        <v>238.0803458894224</v>
      </c>
      <c r="P27" s="25">
        <f>((SUM(C49:E49)+((E46*(1+P$23))/(0.105-P$23))*E48)-$B$25)/$B$24</f>
        <v>257.93245525735745</v>
      </c>
      <c r="Q27" s="25">
        <f>((SUM(C49:E49)+((E46*(1+Q$23))/(0.105-Q$23))*E48)-$B$25)/$B$24</f>
        <v>281.39403905582611</v>
      </c>
    </row>
    <row r="28" spans="1:17" ht="15.6" x14ac:dyDescent="0.3">
      <c r="A28" s="4" t="s">
        <v>46</v>
      </c>
      <c r="J28" s="43">
        <v>0.109</v>
      </c>
      <c r="K28" s="29">
        <f>((SUM(C49:E49)+((E46*(1+K$23))/($G$13-K$23))*E48)-$B$25)/$B$24</f>
        <v>174.62668867771694</v>
      </c>
      <c r="L28" s="29">
        <f>((SUM(C49:E49)+((E46*(1+L$23))/($G$13-L$23))*E48)-$B$25)/$B$24</f>
        <v>185.040543780517</v>
      </c>
      <c r="M28" s="29">
        <f>((SUM(C49:E49)+((E46*(1+M$23))/($G$13-M$23))*E48)-$B$25)/$B$24</f>
        <v>196.77406096245983</v>
      </c>
      <c r="N28" s="29">
        <f>((SUM(C49:E49)+((E46*(1+N$23))/($G$13-N$23))*E48)-$B$25)/$B$24</f>
        <v>210.09505399843025</v>
      </c>
      <c r="O28" s="29">
        <f>((SUM(C49:E49)+((E46*(1+O$23))/($G$13-O$23))*E48)-$B$25)/$B$24</f>
        <v>225.34906179671802</v>
      </c>
      <c r="P28" s="29">
        <f>((SUM(C49:E49)+((E46*(1+P$23))/($G$13-P$23))*E48)-$B$25)/$B$24</f>
        <v>242.989751087255</v>
      </c>
      <c r="Q28" s="29">
        <f>((SUM(C49:E49)+((E46*(1+Q$23))/($G$13-Q$23))*E48)-$B$25)/$B$24</f>
        <v>263.62480092157318</v>
      </c>
    </row>
    <row r="29" spans="1:17" x14ac:dyDescent="0.3">
      <c r="A29" s="24" t="s">
        <v>47</v>
      </c>
      <c r="F29" t="s">
        <v>103</v>
      </c>
      <c r="G29" s="49">
        <f>B67/(E39/$B$24)</f>
        <v>9.5739401852941164</v>
      </c>
      <c r="J29" s="41">
        <v>0.115</v>
      </c>
      <c r="K29" s="25">
        <f>((SUM(C49:E49)+((E46*(1+K$23))/(0.115-K$23))*E48)-$B$25)/$B$24</f>
        <v>164.3263791974037</v>
      </c>
      <c r="L29" s="25">
        <f>((SUM(C49:E49)+((E46*(1+L$23))/(0.115-L$23))*E48)-$B$25)/$B$24</f>
        <v>173.46367618202598</v>
      </c>
      <c r="M29" s="25">
        <f>((SUM(C49:E49)+((E46*(1+M$23))/(0.115-M$23))*E48)-$B$25)/$B$24</f>
        <v>183.67594928248624</v>
      </c>
      <c r="N29" s="25">
        <f>((SUM(C49:E49)+((E46*(1+N$23))/(0.115-N$23))*E48)-$B$25)/$B$24</f>
        <v>195.164756520504</v>
      </c>
      <c r="O29" s="25">
        <f>((SUM(C49:E49)+((E46*(1+O$23))/(0.115-O$23))*E48)-$B$25)/$B$24</f>
        <v>208.18540472359075</v>
      </c>
      <c r="P29" s="25">
        <f>((SUM(C49:E49)+((E46*(1+P$23))/(0.115-P$23))*E48)-$B$25)/$B$24</f>
        <v>223.06614552711855</v>
      </c>
      <c r="Q29" s="25">
        <f>((SUM(C49:E49)+((E46*(1+Q$23))/(0.115-Q$23))*E48)-$B$25)/$B$24</f>
        <v>240.23623106965056</v>
      </c>
    </row>
    <row r="30" spans="1:17" x14ac:dyDescent="0.3">
      <c r="A30" s="10" t="s">
        <v>48</v>
      </c>
      <c r="B30" s="11" t="s">
        <v>49</v>
      </c>
      <c r="C30" s="11" t="s">
        <v>50</v>
      </c>
      <c r="D30" s="11" t="s">
        <v>51</v>
      </c>
      <c r="E30" s="11" t="s">
        <v>52</v>
      </c>
      <c r="J30" s="41">
        <v>0.125</v>
      </c>
      <c r="K30" s="25">
        <f>((SUM(C49:E49)+((E46*(1+K$23))/(0.125-K$23))*E48)-$B$25)/$B$24</f>
        <v>149.99703709724008</v>
      </c>
      <c r="L30" s="25">
        <f>((SUM(C49:E49)+((E46*(1+L$23))/(0.125-L$23))*E48)-$B$25)/$B$24</f>
        <v>157.50413727839194</v>
      </c>
      <c r="M30" s="25">
        <f>((SUM(C49:E49)+((E46*(1+M$23))/(0.125-M$23))*E48)-$B$25)/$B$24</f>
        <v>165.80145853124409</v>
      </c>
      <c r="N30" s="25">
        <f>((SUM(C49:E49)+((E46*(1+N$23))/(0.125-N$23))*E48)-$B$25)/$B$24</f>
        <v>175.02070436774642</v>
      </c>
      <c r="O30" s="25">
        <f>((SUM(C49:E49)+((E46*(1+O$23))/(0.125-O$23))*E48)-$B$25)/$B$24</f>
        <v>185.3245673614843</v>
      </c>
      <c r="P30" s="25">
        <f>((SUM(C49:E49)+((E46*(1+P$23))/(0.125-P$23))*E48)-$B$25)/$B$24</f>
        <v>196.91641322943946</v>
      </c>
      <c r="Q30" s="25">
        <f>((SUM(C49:E49)+((E46*(1+Q$23))/(0.125-Q$23))*E48)-$B$25)/$B$24</f>
        <v>210.05383854645527</v>
      </c>
    </row>
    <row r="31" spans="1:17" x14ac:dyDescent="0.3">
      <c r="A31" s="5" t="s">
        <v>53</v>
      </c>
      <c r="B31" s="25">
        <f>$B$6</f>
        <v>35000</v>
      </c>
      <c r="C31" s="25">
        <f>IF($B$16="Base",B31*(1+$C$9),IF($B$16="Bear",B31*(1+$B$9),B31*(1+$D$9)))</f>
        <v>38500</v>
      </c>
      <c r="D31" s="25">
        <f>IF($B$16="Base",C31*(1+$C$10),IF($B$16="Bear",C31*(1+$B$10),C31*(1+$D$10)))</f>
        <v>41965</v>
      </c>
      <c r="E31" s="25">
        <f>IF($B$16="Base",D31*(1+$C$11),IF($B$16="Bear",D31*(1+$B$11),D31*(1+$D$11)))</f>
        <v>45322.200000000004</v>
      </c>
      <c r="J31">
        <v>4.3</v>
      </c>
      <c r="K31">
        <v>4.3</v>
      </c>
      <c r="L31">
        <v>4.3</v>
      </c>
      <c r="M31">
        <v>4.3</v>
      </c>
      <c r="N31">
        <v>4.3</v>
      </c>
      <c r="O31">
        <v>4.3</v>
      </c>
      <c r="P31">
        <v>4.3</v>
      </c>
      <c r="Q31">
        <v>4.3</v>
      </c>
    </row>
    <row r="32" spans="1:17" x14ac:dyDescent="0.3">
      <c r="A32" s="26" t="s">
        <v>54</v>
      </c>
      <c r="B32" s="27"/>
      <c r="C32" s="27">
        <f>C31/B31-1</f>
        <v>0.10000000000000009</v>
      </c>
      <c r="D32" s="27">
        <f>D31/C31-1</f>
        <v>9.000000000000008E-2</v>
      </c>
      <c r="E32" s="27">
        <f>E31/D31-1</f>
        <v>8.0000000000000071E-2</v>
      </c>
      <c r="J32">
        <v>4.3</v>
      </c>
      <c r="K32">
        <v>4.3</v>
      </c>
      <c r="L32">
        <v>4.3</v>
      </c>
      <c r="M32">
        <v>4.3</v>
      </c>
      <c r="N32">
        <v>4.3</v>
      </c>
      <c r="O32">
        <v>4.3</v>
      </c>
      <c r="P32">
        <v>4.3</v>
      </c>
      <c r="Q32">
        <v>4.3</v>
      </c>
    </row>
    <row r="33" spans="1:17" x14ac:dyDescent="0.3">
      <c r="J33" s="2" t="s">
        <v>93</v>
      </c>
      <c r="K33">
        <v>4.3</v>
      </c>
      <c r="L33">
        <v>4.3</v>
      </c>
      <c r="M33">
        <v>4.3</v>
      </c>
      <c r="N33">
        <v>4.3</v>
      </c>
      <c r="O33">
        <v>4.3</v>
      </c>
      <c r="P33">
        <v>4.3</v>
      </c>
      <c r="Q33">
        <v>4.3</v>
      </c>
    </row>
    <row r="34" spans="1:17" x14ac:dyDescent="0.3">
      <c r="A34" s="5" t="s">
        <v>55</v>
      </c>
      <c r="B34" s="25">
        <f>IF($B$16="Base",B31*$C$14,IF($B$16="Bear",B31*$B$14,B31*$D$14))</f>
        <v>9800.0000000000018</v>
      </c>
      <c r="C34" s="25">
        <f>IF($B$16="Base",C31*$C$14,IF($B$16="Bear",C31*$B$14,C31*$D$14))</f>
        <v>10780.000000000002</v>
      </c>
      <c r="D34" s="25">
        <f>IF($B$16="Base",D31*$C$14,IF($B$16="Bear",D31*$B$14,D31*$D$14))</f>
        <v>11750.2</v>
      </c>
      <c r="E34" s="25">
        <f>IF($B$16="Base",E31*$C$14,IF($B$16="Bear",E31*$B$14,E31*$D$14))</f>
        <v>12690.216000000002</v>
      </c>
      <c r="J34" s="10" t="s">
        <v>94</v>
      </c>
      <c r="K34">
        <v>4.3</v>
      </c>
      <c r="L34">
        <v>4.3</v>
      </c>
      <c r="M34">
        <v>4.3</v>
      </c>
      <c r="N34">
        <v>4.3</v>
      </c>
      <c r="O34">
        <v>4.3</v>
      </c>
      <c r="P34">
        <v>4.3</v>
      </c>
      <c r="Q34">
        <v>4.3</v>
      </c>
    </row>
    <row r="35" spans="1:17" x14ac:dyDescent="0.3">
      <c r="A35" s="26" t="s">
        <v>56</v>
      </c>
      <c r="B35" s="27">
        <f>B34/B31</f>
        <v>0.28000000000000003</v>
      </c>
      <c r="C35" s="27">
        <f>C34/C31</f>
        <v>0.28000000000000003</v>
      </c>
      <c r="D35" s="27">
        <f>D34/D31</f>
        <v>0.28000000000000003</v>
      </c>
      <c r="E35" s="27">
        <f>E34/E31</f>
        <v>0.28000000000000003</v>
      </c>
      <c r="J35">
        <v>4.3</v>
      </c>
      <c r="K35">
        <v>4.3</v>
      </c>
      <c r="L35">
        <v>4.3</v>
      </c>
      <c r="M35">
        <v>4.3</v>
      </c>
      <c r="N35">
        <v>4.3</v>
      </c>
      <c r="O35">
        <v>4.3</v>
      </c>
      <c r="P35">
        <v>4.3</v>
      </c>
      <c r="Q35">
        <v>4.3</v>
      </c>
    </row>
    <row r="36" spans="1:17" x14ac:dyDescent="0.3">
      <c r="A36" t="s">
        <v>57</v>
      </c>
      <c r="B36" s="25">
        <f>B31*$B$19</f>
        <v>1050</v>
      </c>
      <c r="C36" s="25">
        <f>C31*$B$19</f>
        <v>1155</v>
      </c>
      <c r="D36" s="25">
        <f>D31*$B$19</f>
        <v>1258.95</v>
      </c>
      <c r="E36" s="25">
        <f>E31*$B$19</f>
        <v>1359.6660000000002</v>
      </c>
      <c r="J36" s="40" t="s">
        <v>95</v>
      </c>
      <c r="K36" s="45">
        <v>0.06</v>
      </c>
      <c r="L36" s="45">
        <v>0.08</v>
      </c>
      <c r="M36" s="45">
        <v>0.1</v>
      </c>
      <c r="N36" s="45">
        <v>0.12</v>
      </c>
      <c r="O36" s="45">
        <v>0.14000000000000001</v>
      </c>
      <c r="P36" s="45">
        <v>0.16</v>
      </c>
      <c r="Q36" s="45">
        <v>0.18</v>
      </c>
    </row>
    <row r="37" spans="1:17" x14ac:dyDescent="0.3">
      <c r="A37" s="5" t="s">
        <v>58</v>
      </c>
      <c r="B37" s="25">
        <f>B34-B36</f>
        <v>8750.0000000000018</v>
      </c>
      <c r="C37" s="25">
        <f>C34-C36</f>
        <v>9625.0000000000018</v>
      </c>
      <c r="D37" s="25">
        <f>D34-D36</f>
        <v>10491.25</v>
      </c>
      <c r="E37" s="25">
        <f>E34-E36</f>
        <v>11330.550000000003</v>
      </c>
      <c r="J37" s="40" t="s">
        <v>96</v>
      </c>
      <c r="K37">
        <v>4.3</v>
      </c>
      <c r="L37">
        <v>4.3</v>
      </c>
      <c r="M37">
        <v>4.3</v>
      </c>
      <c r="N37">
        <v>4.3</v>
      </c>
      <c r="O37">
        <v>4.3</v>
      </c>
      <c r="P37">
        <v>4.3</v>
      </c>
      <c r="Q37">
        <v>4.3</v>
      </c>
    </row>
    <row r="38" spans="1:17" x14ac:dyDescent="0.3">
      <c r="A38" t="s">
        <v>59</v>
      </c>
      <c r="B38" s="25">
        <f>B37*$G$16</f>
        <v>1925.0000000000005</v>
      </c>
      <c r="C38" s="25">
        <f>C37*$G$16</f>
        <v>2117.5000000000005</v>
      </c>
      <c r="D38" s="25">
        <f>D37*$G$16</f>
        <v>2308.0749999999998</v>
      </c>
      <c r="E38" s="25">
        <f>E37*$G$16</f>
        <v>2492.7210000000005</v>
      </c>
      <c r="J38" s="44">
        <v>0.22</v>
      </c>
      <c r="K38" s="25">
        <v>138</v>
      </c>
      <c r="L38" s="25">
        <v>146</v>
      </c>
      <c r="M38" s="25">
        <v>155</v>
      </c>
      <c r="N38" s="25">
        <v>164</v>
      </c>
      <c r="O38" s="25">
        <v>172</v>
      </c>
      <c r="P38" s="25">
        <v>181</v>
      </c>
      <c r="Q38" s="25">
        <v>190</v>
      </c>
    </row>
    <row r="39" spans="1:17" x14ac:dyDescent="0.3">
      <c r="A39" s="5" t="s">
        <v>60</v>
      </c>
      <c r="B39" s="25">
        <f>B37-B38</f>
        <v>6825.0000000000018</v>
      </c>
      <c r="C39" s="25">
        <f>C37-C38</f>
        <v>7507.5000000000018</v>
      </c>
      <c r="D39" s="25">
        <f>D37-D38</f>
        <v>8183.1750000000002</v>
      </c>
      <c r="E39" s="25">
        <f>E37-E38</f>
        <v>8837.8290000000015</v>
      </c>
      <c r="J39" s="44">
        <v>0.24</v>
      </c>
      <c r="K39" s="25">
        <v>155</v>
      </c>
      <c r="L39" s="25">
        <v>164</v>
      </c>
      <c r="M39" s="25">
        <v>173</v>
      </c>
      <c r="N39" s="25">
        <v>182</v>
      </c>
      <c r="O39" s="25">
        <v>191</v>
      </c>
      <c r="P39" s="25">
        <v>201</v>
      </c>
      <c r="Q39" s="25">
        <v>210</v>
      </c>
    </row>
    <row r="40" spans="1:17" x14ac:dyDescent="0.3">
      <c r="J40" s="44">
        <v>0.26</v>
      </c>
      <c r="K40" s="25">
        <v>172</v>
      </c>
      <c r="L40" s="25">
        <v>182</v>
      </c>
      <c r="M40" s="25">
        <v>192</v>
      </c>
      <c r="N40" s="25">
        <v>201</v>
      </c>
      <c r="O40" s="25">
        <v>211</v>
      </c>
      <c r="P40" s="25">
        <v>221</v>
      </c>
      <c r="Q40" s="25">
        <v>231</v>
      </c>
    </row>
    <row r="41" spans="1:17" x14ac:dyDescent="0.3">
      <c r="A41" s="10" t="s">
        <v>61</v>
      </c>
      <c r="B41" s="28"/>
      <c r="C41" s="28"/>
      <c r="D41" s="28"/>
      <c r="E41" s="28"/>
      <c r="J41" s="46">
        <v>0.28000000000000003</v>
      </c>
      <c r="K41" s="29">
        <v>189</v>
      </c>
      <c r="L41" s="29">
        <v>199</v>
      </c>
      <c r="M41" s="29">
        <v>210</v>
      </c>
      <c r="N41" s="29">
        <v>220</v>
      </c>
      <c r="O41" s="29">
        <v>231</v>
      </c>
      <c r="P41" s="29">
        <v>241</v>
      </c>
      <c r="Q41" s="29">
        <v>252</v>
      </c>
    </row>
    <row r="42" spans="1:17" x14ac:dyDescent="0.3">
      <c r="A42" t="s">
        <v>60</v>
      </c>
      <c r="B42" s="25">
        <f>B39</f>
        <v>6825.0000000000018</v>
      </c>
      <c r="C42" s="25">
        <f>C39</f>
        <v>7507.5000000000018</v>
      </c>
      <c r="D42" s="25">
        <f>D39</f>
        <v>8183.1750000000002</v>
      </c>
      <c r="E42" s="25">
        <f>E39</f>
        <v>8837.8290000000015</v>
      </c>
      <c r="J42" s="44">
        <v>0.3</v>
      </c>
      <c r="K42" s="25">
        <v>207</v>
      </c>
      <c r="L42" s="25">
        <v>217</v>
      </c>
      <c r="M42" s="25">
        <v>228</v>
      </c>
      <c r="N42" s="25">
        <v>239</v>
      </c>
      <c r="O42" s="25">
        <v>250</v>
      </c>
      <c r="P42" s="25">
        <v>262</v>
      </c>
      <c r="Q42" s="25">
        <v>273</v>
      </c>
    </row>
    <row r="43" spans="1:17" x14ac:dyDescent="0.3">
      <c r="A43" t="s">
        <v>62</v>
      </c>
      <c r="B43" s="25">
        <f>B36</f>
        <v>1050</v>
      </c>
      <c r="C43" s="25">
        <f>C36</f>
        <v>1155</v>
      </c>
      <c r="D43" s="25">
        <f>D36</f>
        <v>1258.95</v>
      </c>
      <c r="E43" s="25">
        <f>E36</f>
        <v>1359.6660000000002</v>
      </c>
      <c r="J43" s="44">
        <v>0.32</v>
      </c>
      <c r="K43" s="25">
        <v>224</v>
      </c>
      <c r="L43" s="25">
        <v>235</v>
      </c>
      <c r="M43" s="25">
        <v>247</v>
      </c>
      <c r="N43" s="25">
        <v>258</v>
      </c>
      <c r="O43" s="25">
        <v>270</v>
      </c>
      <c r="P43" s="25">
        <v>282</v>
      </c>
      <c r="Q43" s="25">
        <v>294</v>
      </c>
    </row>
    <row r="44" spans="1:17" x14ac:dyDescent="0.3">
      <c r="A44" t="s">
        <v>63</v>
      </c>
      <c r="B44" s="25">
        <f>B31*$B$20</f>
        <v>1400</v>
      </c>
      <c r="C44" s="25">
        <f>C31*$B$20</f>
        <v>1540</v>
      </c>
      <c r="D44" s="25">
        <f>D31*$B$20</f>
        <v>1678.6000000000001</v>
      </c>
      <c r="E44" s="25">
        <f>E31*$B$20</f>
        <v>1812.8880000000001</v>
      </c>
      <c r="J44">
        <v>4.3</v>
      </c>
      <c r="K44">
        <v>4.3</v>
      </c>
      <c r="L44">
        <v>4.3</v>
      </c>
      <c r="M44">
        <v>4.3</v>
      </c>
      <c r="N44">
        <v>4.3</v>
      </c>
      <c r="O44">
        <v>4.3</v>
      </c>
      <c r="P44">
        <v>4.3</v>
      </c>
      <c r="Q44">
        <v>4.3</v>
      </c>
    </row>
    <row r="45" spans="1:17" x14ac:dyDescent="0.3">
      <c r="A45" t="s">
        <v>64</v>
      </c>
      <c r="B45" s="25"/>
      <c r="C45" s="25">
        <f>(C31-B31)*$B$21</f>
        <v>175</v>
      </c>
      <c r="D45" s="25">
        <f>(D31-C31)*$B$21</f>
        <v>173.25</v>
      </c>
      <c r="E45" s="25">
        <f>(E31-D31)*$B$21</f>
        <v>167.86000000000024</v>
      </c>
      <c r="J45">
        <v>4.3</v>
      </c>
      <c r="K45">
        <v>4.3</v>
      </c>
      <c r="L45">
        <v>4.3</v>
      </c>
      <c r="M45">
        <v>4.3</v>
      </c>
      <c r="N45">
        <v>4.3</v>
      </c>
      <c r="O45">
        <v>4.3</v>
      </c>
      <c r="P45">
        <v>4.3</v>
      </c>
      <c r="Q45">
        <v>4.3</v>
      </c>
    </row>
    <row r="46" spans="1:17" x14ac:dyDescent="0.3">
      <c r="A46" s="15" t="s">
        <v>65</v>
      </c>
      <c r="B46" s="29"/>
      <c r="C46" s="31">
        <f>C42+C43-C44-C45</f>
        <v>6947.5000000000018</v>
      </c>
      <c r="D46" s="31">
        <f>D42+D43-D44-D45</f>
        <v>7590.2749999999996</v>
      </c>
      <c r="E46" s="31">
        <f>E42+E43-E44-E45</f>
        <v>8216.7470000000012</v>
      </c>
      <c r="J46" s="2" t="s">
        <v>108</v>
      </c>
      <c r="K46">
        <v>4.3</v>
      </c>
      <c r="L46">
        <v>4.3</v>
      </c>
      <c r="M46">
        <v>4.3</v>
      </c>
      <c r="N46">
        <v>4.3</v>
      </c>
      <c r="O46">
        <v>4.3</v>
      </c>
      <c r="P46">
        <v>4.3</v>
      </c>
      <c r="Q46">
        <v>4.3</v>
      </c>
    </row>
    <row r="48" spans="1:17" x14ac:dyDescent="0.3">
      <c r="A48" s="26" t="s">
        <v>66</v>
      </c>
      <c r="B48" s="32"/>
      <c r="C48" s="32">
        <f>1/(1+$G$13)^1</f>
        <v>0.90178396392864146</v>
      </c>
      <c r="D48" s="32">
        <f>1/(1+$G$13)^2</f>
        <v>0.81321431759885332</v>
      </c>
      <c r="E48" s="32">
        <f>1/(1+$G$13)^3</f>
        <v>0.73334363084781917</v>
      </c>
      <c r="J48" s="10" t="s">
        <v>81</v>
      </c>
      <c r="K48" s="11" t="s">
        <v>50</v>
      </c>
      <c r="L48" s="11" t="s">
        <v>51</v>
      </c>
      <c r="M48" s="11" t="s">
        <v>52</v>
      </c>
      <c r="N48" s="11" t="s">
        <v>109</v>
      </c>
      <c r="O48">
        <v>4.3</v>
      </c>
      <c r="P48">
        <v>4.3</v>
      </c>
      <c r="Q48">
        <v>4.3</v>
      </c>
    </row>
    <row r="49" spans="1:14" x14ac:dyDescent="0.3">
      <c r="A49" s="5" t="s">
        <v>67</v>
      </c>
      <c r="B49" s="25"/>
      <c r="C49" s="25">
        <f>C46*C48</f>
        <v>6265.1440893942381</v>
      </c>
      <c r="D49" s="25">
        <f>D46*D48</f>
        <v>6172.5203045126364</v>
      </c>
      <c r="E49" s="25">
        <f>E46*E48</f>
        <v>6025.6990787379264</v>
      </c>
      <c r="J49" t="s">
        <v>110</v>
      </c>
      <c r="K49" s="25">
        <f>C31</f>
        <v>38500</v>
      </c>
      <c r="L49" s="25">
        <f>D31</f>
        <v>41965</v>
      </c>
      <c r="M49" s="25">
        <f>E31</f>
        <v>45322.200000000004</v>
      </c>
      <c r="N49" s="27">
        <f>(E31/B31)^(1/3)-1</f>
        <v>8.9969418102222809E-2</v>
      </c>
    </row>
    <row r="50" spans="1:14" x14ac:dyDescent="0.3">
      <c r="J50" t="s">
        <v>111</v>
      </c>
      <c r="K50" s="25">
        <f>C34</f>
        <v>10780.000000000002</v>
      </c>
      <c r="L50" s="25">
        <f>D34</f>
        <v>11750.2</v>
      </c>
      <c r="M50" s="25">
        <f>E34</f>
        <v>12690.216000000002</v>
      </c>
      <c r="N50" s="27">
        <f>(E34/B34)^(1/3)-1</f>
        <v>8.9969418102222809E-2</v>
      </c>
    </row>
    <row r="51" spans="1:14" x14ac:dyDescent="0.3">
      <c r="A51" s="2" t="s">
        <v>68</v>
      </c>
      <c r="J51" t="s">
        <v>112</v>
      </c>
      <c r="K51" s="25">
        <f>C46</f>
        <v>6947.5000000000018</v>
      </c>
      <c r="L51" s="25">
        <f>D46</f>
        <v>7590.2749999999996</v>
      </c>
      <c r="M51" s="25">
        <f>E46</f>
        <v>8216.7470000000012</v>
      </c>
      <c r="N51" s="27">
        <f>(E46/C46)^(1/2)-1</f>
        <v>8.7516061434999237E-2</v>
      </c>
    </row>
    <row r="53" spans="1:14" x14ac:dyDescent="0.3">
      <c r="A53" s="5" t="s">
        <v>69</v>
      </c>
      <c r="B53" s="25">
        <f>SUM(C49:E49)</f>
        <v>18463.3634726448</v>
      </c>
      <c r="J53" s="10" t="s">
        <v>113</v>
      </c>
      <c r="K53">
        <v>4.3</v>
      </c>
      <c r="L53">
        <v>4.3</v>
      </c>
      <c r="M53">
        <v>4.3</v>
      </c>
      <c r="N53">
        <v>4.3</v>
      </c>
    </row>
    <row r="54" spans="1:14" x14ac:dyDescent="0.3">
      <c r="J54" s="5" t="s">
        <v>114</v>
      </c>
      <c r="K54" s="25">
        <f>$B$26</f>
        <v>650</v>
      </c>
      <c r="L54">
        <v>4.3</v>
      </c>
      <c r="M54">
        <v>4.3</v>
      </c>
      <c r="N54">
        <v>4.3</v>
      </c>
    </row>
    <row r="55" spans="1:14" x14ac:dyDescent="0.3">
      <c r="A55" s="10" t="s">
        <v>70</v>
      </c>
      <c r="J55" s="5" t="s">
        <v>115</v>
      </c>
      <c r="K55" s="25">
        <f>B67</f>
        <v>196.77406096245983</v>
      </c>
      <c r="L55">
        <v>4.3</v>
      </c>
      <c r="M55">
        <v>4.3</v>
      </c>
      <c r="N55">
        <v>4.3</v>
      </c>
    </row>
    <row r="56" spans="1:14" x14ac:dyDescent="0.3">
      <c r="A56" t="s">
        <v>71</v>
      </c>
      <c r="B56" s="25">
        <f>E46*(1+$G$15)</f>
        <v>8463.2494100000022</v>
      </c>
      <c r="J56" s="15" t="s">
        <v>116</v>
      </c>
      <c r="K56" s="50">
        <f>B70</f>
        <v>-0.69727067544236943</v>
      </c>
      <c r="L56">
        <v>4.3</v>
      </c>
      <c r="M56">
        <v>4.3</v>
      </c>
      <c r="N56">
        <v>4.3</v>
      </c>
    </row>
    <row r="57" spans="1:14" x14ac:dyDescent="0.3">
      <c r="A57" t="s">
        <v>31</v>
      </c>
      <c r="B57" s="27">
        <f>$G$15</f>
        <v>0.03</v>
      </c>
      <c r="J57">
        <v>4.3</v>
      </c>
      <c r="K57">
        <v>4.3</v>
      </c>
      <c r="L57">
        <v>4.3</v>
      </c>
      <c r="M57">
        <v>4.3</v>
      </c>
      <c r="N57">
        <v>4.3</v>
      </c>
    </row>
    <row r="58" spans="1:14" x14ac:dyDescent="0.3">
      <c r="A58" t="s">
        <v>30</v>
      </c>
      <c r="B58" s="27">
        <f>$G$13</f>
        <v>0.10891304347826088</v>
      </c>
      <c r="J58" s="2" t="s">
        <v>127</v>
      </c>
      <c r="K58">
        <v>4.3</v>
      </c>
      <c r="L58">
        <v>4.3</v>
      </c>
      <c r="M58">
        <v>4.3</v>
      </c>
      <c r="N58">
        <v>4.3</v>
      </c>
    </row>
    <row r="59" spans="1:14" x14ac:dyDescent="0.3">
      <c r="A59" s="5" t="s">
        <v>72</v>
      </c>
      <c r="B59" s="30">
        <f>B56/(B58-B57)</f>
        <v>107247.78866666669</v>
      </c>
      <c r="K59">
        <v>4.3</v>
      </c>
      <c r="L59">
        <v>4.3</v>
      </c>
      <c r="M59">
        <v>4.3</v>
      </c>
      <c r="N59">
        <v>4.3</v>
      </c>
    </row>
    <row r="60" spans="1:14" x14ac:dyDescent="0.3">
      <c r="A60" s="5" t="s">
        <v>73</v>
      </c>
      <c r="B60" s="30">
        <f>B59*E48</f>
        <v>78649.482741212938</v>
      </c>
      <c r="J60" s="5" t="s">
        <v>128</v>
      </c>
      <c r="K60">
        <v>4.3</v>
      </c>
      <c r="L60">
        <v>4.3</v>
      </c>
      <c r="M60">
        <v>4.3</v>
      </c>
      <c r="N60">
        <v>4.3</v>
      </c>
    </row>
    <row r="61" spans="1:14" x14ac:dyDescent="0.3">
      <c r="J61" t="s">
        <v>129</v>
      </c>
      <c r="K61">
        <v>4.3</v>
      </c>
      <c r="L61">
        <v>4.3</v>
      </c>
      <c r="M61">
        <v>4.3</v>
      </c>
      <c r="N61">
        <v>4.3</v>
      </c>
    </row>
    <row r="62" spans="1:14" x14ac:dyDescent="0.3">
      <c r="A62" s="15" t="s">
        <v>74</v>
      </c>
      <c r="B62" s="31">
        <f>B53+B60</f>
        <v>97112.846213857731</v>
      </c>
      <c r="J62" t="s">
        <v>130</v>
      </c>
      <c r="K62">
        <v>4.3</v>
      </c>
      <c r="L62">
        <v>4.3</v>
      </c>
      <c r="M62">
        <v>4.3</v>
      </c>
      <c r="N62">
        <v>4.3</v>
      </c>
    </row>
    <row r="63" spans="1:14" x14ac:dyDescent="0.3">
      <c r="A63" t="s">
        <v>75</v>
      </c>
      <c r="B63" s="25">
        <f>$B$25</f>
        <v>12500</v>
      </c>
      <c r="K63">
        <v>4.3</v>
      </c>
      <c r="L63">
        <v>4.3</v>
      </c>
      <c r="M63">
        <v>4.3</v>
      </c>
      <c r="N63">
        <v>4.3</v>
      </c>
    </row>
    <row r="64" spans="1:14" x14ac:dyDescent="0.3">
      <c r="A64" s="15" t="s">
        <v>76</v>
      </c>
      <c r="B64" s="31">
        <f>B62-B63</f>
        <v>84612.846213857731</v>
      </c>
      <c r="J64" s="5" t="s">
        <v>131</v>
      </c>
      <c r="K64">
        <v>4.3</v>
      </c>
      <c r="L64">
        <v>4.3</v>
      </c>
      <c r="M64">
        <v>4.3</v>
      </c>
      <c r="N64">
        <v>4.3</v>
      </c>
    </row>
    <row r="65" spans="1:11" x14ac:dyDescent="0.3">
      <c r="J65" t="s">
        <v>132</v>
      </c>
      <c r="K65">
        <v>4.3</v>
      </c>
    </row>
    <row r="66" spans="1:11" x14ac:dyDescent="0.3">
      <c r="A66" s="15" t="s">
        <v>40</v>
      </c>
      <c r="B66" s="33">
        <f>$B$24</f>
        <v>430</v>
      </c>
      <c r="J66" t="s">
        <v>133</v>
      </c>
      <c r="K66">
        <v>4.3</v>
      </c>
    </row>
    <row r="67" spans="1:11" ht="15.6" x14ac:dyDescent="0.3">
      <c r="A67" s="34" t="s">
        <v>77</v>
      </c>
      <c r="B67" s="35">
        <f>B64/B66</f>
        <v>196.77406096245983</v>
      </c>
      <c r="K67">
        <v>4.3</v>
      </c>
    </row>
    <row r="68" spans="1:11" x14ac:dyDescent="0.3">
      <c r="J68" s="5" t="s">
        <v>134</v>
      </c>
      <c r="K68">
        <v>4.3</v>
      </c>
    </row>
    <row r="69" spans="1:11" x14ac:dyDescent="0.3">
      <c r="A69" t="s">
        <v>44</v>
      </c>
      <c r="B69" s="25">
        <f>$B$26</f>
        <v>650</v>
      </c>
      <c r="J69">
        <v>4.3</v>
      </c>
      <c r="K69">
        <v>4.3</v>
      </c>
    </row>
    <row r="70" spans="1:11" x14ac:dyDescent="0.3">
      <c r="A70" s="5" t="s">
        <v>78</v>
      </c>
      <c r="B70" s="36">
        <f>B67/B69-1</f>
        <v>-0.69727067544236943</v>
      </c>
      <c r="J70" s="51" t="s">
        <v>141</v>
      </c>
      <c r="K70">
        <v>4.3</v>
      </c>
    </row>
    <row r="72" spans="1:11" ht="18" x14ac:dyDescent="0.35">
      <c r="A72" s="2" t="s">
        <v>104</v>
      </c>
      <c r="J72" s="5" t="s">
        <v>142</v>
      </c>
      <c r="K72" s="52">
        <f>B67</f>
        <v>196.77406096245983</v>
      </c>
    </row>
    <row r="73" spans="1:11" x14ac:dyDescent="0.3">
      <c r="A73" s="10" t="s">
        <v>105</v>
      </c>
      <c r="J73" t="s">
        <v>114</v>
      </c>
      <c r="K73" s="25">
        <f>$B$26</f>
        <v>650</v>
      </c>
    </row>
    <row r="74" spans="1:11" ht="15.6" x14ac:dyDescent="0.3">
      <c r="A74" s="16" t="s">
        <v>106</v>
      </c>
      <c r="B74" t="e" cm="1">
        <f t="array" ref="B74" xml:space="preserve"> Hardcoded inputs</f>
        <v>#NAME?</v>
      </c>
      <c r="J74" s="5" t="s">
        <v>143</v>
      </c>
      <c r="K74" s="53">
        <f>B70</f>
        <v>-0.69727067544236943</v>
      </c>
    </row>
    <row r="75" spans="1:11" x14ac:dyDescent="0.3">
      <c r="A75" s="5" t="s">
        <v>107</v>
      </c>
      <c r="B75" t="e" cm="1">
        <f t="array" ref="B75" xml:space="preserve"> Formulas</f>
        <v>#NAME?</v>
      </c>
      <c r="K75">
        <v>4.3</v>
      </c>
    </row>
    <row r="76" spans="1:11" x14ac:dyDescent="0.3">
      <c r="A76" s="15" t="s">
        <v>117</v>
      </c>
      <c r="B76" t="e" cm="1">
        <f t="array" ref="B76" xml:space="preserve"> Key outputs</f>
        <v>#NAME?</v>
      </c>
      <c r="J76" s="5" t="s">
        <v>144</v>
      </c>
      <c r="K76">
        <v>4.3</v>
      </c>
    </row>
    <row r="77" spans="1:11" x14ac:dyDescent="0.3">
      <c r="J77" t="s">
        <v>145</v>
      </c>
      <c r="K77" s="5" t="s">
        <v>146</v>
      </c>
    </row>
    <row r="78" spans="1:11" x14ac:dyDescent="0.3">
      <c r="A78" s="10" t="s">
        <v>118</v>
      </c>
      <c r="J78">
        <v>4.3</v>
      </c>
      <c r="K78">
        <v>4.3</v>
      </c>
    </row>
    <row r="79" spans="1:11" x14ac:dyDescent="0.3">
      <c r="A79" s="5" t="s">
        <v>119</v>
      </c>
      <c r="B79" t="s">
        <v>120</v>
      </c>
      <c r="J79">
        <v>4.3</v>
      </c>
      <c r="K79">
        <v>4.3</v>
      </c>
    </row>
    <row r="80" spans="1:11" x14ac:dyDescent="0.3">
      <c r="A80" s="5" t="s">
        <v>121</v>
      </c>
      <c r="B80" t="s">
        <v>122</v>
      </c>
      <c r="J80">
        <v>4.3</v>
      </c>
      <c r="K80">
        <v>4.3</v>
      </c>
    </row>
    <row r="81" spans="1:2" x14ac:dyDescent="0.3">
      <c r="A81" s="5" t="s">
        <v>123</v>
      </c>
      <c r="B81" t="s">
        <v>124</v>
      </c>
    </row>
    <row r="82" spans="1:2" x14ac:dyDescent="0.3">
      <c r="A82" s="5" t="s">
        <v>125</v>
      </c>
      <c r="B82" t="s">
        <v>126</v>
      </c>
    </row>
    <row r="84" spans="1:2" x14ac:dyDescent="0.3">
      <c r="A84" s="2" t="s">
        <v>135</v>
      </c>
    </row>
    <row r="86" spans="1:2" x14ac:dyDescent="0.3">
      <c r="A86" s="5" t="s">
        <v>136</v>
      </c>
    </row>
    <row r="87" spans="1:2" x14ac:dyDescent="0.3">
      <c r="A87" t="s">
        <v>137</v>
      </c>
    </row>
    <row r="88" spans="1:2" x14ac:dyDescent="0.3">
      <c r="A88" t="s">
        <v>138</v>
      </c>
    </row>
    <row r="89" spans="1:2" x14ac:dyDescent="0.3">
      <c r="A89" t="s">
        <v>139</v>
      </c>
    </row>
    <row r="90" spans="1:2" x14ac:dyDescent="0.3">
      <c r="A90" t="s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M</dc:creator>
  <cp:lastModifiedBy>Christian M</cp:lastModifiedBy>
  <dcterms:created xsi:type="dcterms:W3CDTF">2025-11-15T13:39:51Z</dcterms:created>
  <dcterms:modified xsi:type="dcterms:W3CDTF">2026-01-20T19:52:42Z</dcterms:modified>
</cp:coreProperties>
</file>